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eonstawowiak/Downloads/"/>
    </mc:Choice>
  </mc:AlternateContent>
  <xr:revisionPtr revIDLastSave="0" documentId="13_ncr:1_{65538CEC-10CE-5F45-8CBF-C3758C1D5046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Leistungsverzeichnis" sheetId="1" r:id="rId1"/>
    <sheet name="Zusammenfass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  <c r="F12" i="1" s="1"/>
  <c r="B11" i="2" l="1"/>
  <c r="F13" i="1"/>
  <c r="B12" i="2" s="1"/>
  <c r="F14" i="1" l="1"/>
  <c r="B13" i="2" s="1"/>
</calcChain>
</file>

<file path=xl/sharedStrings.xml><?xml version="1.0" encoding="utf-8"?>
<sst xmlns="http://schemas.openxmlformats.org/spreadsheetml/2006/main" count="55" uniqueCount="46">
  <si>
    <t>Pos.</t>
  </si>
  <si>
    <t>Leistungsbeschreibung</t>
  </si>
  <si>
    <t>Einheit</t>
  </si>
  <si>
    <t>Menge</t>
  </si>
  <si>
    <t>EP (€)</t>
  </si>
  <si>
    <t>GP (€)</t>
  </si>
  <si>
    <t>01.01</t>
  </si>
  <si>
    <t>Baustelleneinrichtung (Container, Lagerfläche, Absicherung)</t>
  </si>
  <si>
    <t>pauschal</t>
  </si>
  <si>
    <t>01.02</t>
  </si>
  <si>
    <t>Aushub der Baugrube bis 2,5 m Tiefe inkl. Abtransport</t>
  </si>
  <si>
    <t>m³</t>
  </si>
  <si>
    <t>01.03</t>
  </si>
  <si>
    <t>Lieferung und Einbau von Sauberkeitsschicht aus Magerbeton</t>
  </si>
  <si>
    <t>01.04</t>
  </si>
  <si>
    <t>Lieferung und Einbau von Bewehrung gemäß Statik</t>
  </si>
  <si>
    <t>kg</t>
  </si>
  <si>
    <t>01.05</t>
  </si>
  <si>
    <t>Herstellung der Fundamentplatte aus Beton C25/30 inkl. Schalung</t>
  </si>
  <si>
    <t>01.06</t>
  </si>
  <si>
    <t>Errichtung von tragenden Außenwänden aus Kalksandstein (24 cm)</t>
  </si>
  <si>
    <t>m²</t>
  </si>
  <si>
    <t>01.07</t>
  </si>
  <si>
    <t>Errichtung von Innenwänden aus Kalksandstein (11,5 cm)</t>
  </si>
  <si>
    <t>01.08</t>
  </si>
  <si>
    <t>Deckenbeton (Stahlbetondecke, 20 cm) inkl. Schalung</t>
  </si>
  <si>
    <t>01.09</t>
  </si>
  <si>
    <t>Aussparungen, Durchbrüche und Einbauteile laut Planung</t>
  </si>
  <si>
    <t>01.10</t>
  </si>
  <si>
    <t>Baustellenräumung und Entsorgung nach Abschluss der Arbeiten</t>
  </si>
  <si>
    <t>Gesamtsumme netto:</t>
  </si>
  <si>
    <t>MwSt (19%):</t>
  </si>
  <si>
    <t>Gesamtsumme brutto:</t>
  </si>
  <si>
    <t>Hinweis: GP wird automatisch als Menge × EP berechnet.</t>
  </si>
  <si>
    <t>Zusammenfassung – Subunternehmervertrag</t>
  </si>
  <si>
    <t>Bauvorhaben</t>
  </si>
  <si>
    <t>Wohnhaus Musterstraße 12, München</t>
  </si>
  <si>
    <t>Leistungszeitraum</t>
  </si>
  <si>
    <t>März – Mai 2025</t>
  </si>
  <si>
    <t>Auftraggeber</t>
  </si>
  <si>
    <t>[Name Generalunternehmer]</t>
  </si>
  <si>
    <t>Auftragnehmer</t>
  </si>
  <si>
    <t>[Name Subunternehmer]</t>
  </si>
  <si>
    <t>Vertragsnummer</t>
  </si>
  <si>
    <t>[frei wählbar]</t>
  </si>
  <si>
    <t>Finanzübersicht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</si>
</sst>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164" fontId="1" fillId="0" borderId="1"/>
    <xf numFmtId="4" fontId="1" fillId="0" borderId="1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1" fillId="0" borderId="1" xfId="2"/>
    <xf numFmtId="164" fontId="1" fillId="0" borderId="1" xfId="1"/>
    <xf numFmtId="164" fontId="1" fillId="0" borderId="1" xfId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1" fillId="0" borderId="2" xfId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</cellXfs>
  <cellStyles count="3">
    <cellStyle name="euro_currency" xfId="1" xr:uid="{00000000-0005-0000-0000-000001000000}"/>
    <cellStyle name="Normal" xfId="0" builtinId="0"/>
    <cellStyle name="qty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V" displayName="LV" ref="A1:F11">
  <autoFilter ref="A1:F11" xr:uid="{00000000-0009-0000-0100-000001000000}"/>
  <tableColumns count="6">
    <tableColumn id="1" xr3:uid="{00000000-0010-0000-0000-000001000000}" name="Pos."/>
    <tableColumn id="2" xr3:uid="{00000000-0010-0000-0000-000002000000}" name="Leistungsbeschreibung"/>
    <tableColumn id="3" xr3:uid="{00000000-0010-0000-0000-000003000000}" name="Einheit"/>
    <tableColumn id="4" xr3:uid="{00000000-0010-0000-0000-000004000000}" name="Menge"/>
    <tableColumn id="5" xr3:uid="{00000000-0010-0000-0000-000005000000}" name="EP (€)"/>
    <tableColumn id="6" xr3:uid="{00000000-0010-0000-0000-000006000000}" name="GP (€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8.1640625" customWidth="1"/>
    <col min="2" max="2" width="60" customWidth="1"/>
    <col min="3" max="4" width="10" customWidth="1"/>
    <col min="5" max="5" width="21" customWidth="1"/>
    <col min="6" max="6" width="13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3" t="s">
        <v>7</v>
      </c>
      <c r="C2" s="2" t="s">
        <v>8</v>
      </c>
      <c r="D2" s="4">
        <v>1</v>
      </c>
      <c r="E2" s="5">
        <v>2500</v>
      </c>
      <c r="F2" s="6">
        <f t="shared" ref="F2:F11" si="0">D2*E2</f>
        <v>2500</v>
      </c>
    </row>
    <row r="3" spans="1:6" ht="16" x14ac:dyDescent="0.2">
      <c r="A3" s="2" t="s">
        <v>9</v>
      </c>
      <c r="B3" s="3" t="s">
        <v>10</v>
      </c>
      <c r="C3" s="2" t="s">
        <v>11</v>
      </c>
      <c r="D3" s="4">
        <v>250</v>
      </c>
      <c r="E3" s="5">
        <v>14</v>
      </c>
      <c r="F3" s="6">
        <f t="shared" si="0"/>
        <v>3500</v>
      </c>
    </row>
    <row r="4" spans="1:6" ht="16" x14ac:dyDescent="0.2">
      <c r="A4" s="2" t="s">
        <v>12</v>
      </c>
      <c r="B4" s="3" t="s">
        <v>13</v>
      </c>
      <c r="C4" s="2" t="s">
        <v>11</v>
      </c>
      <c r="D4" s="4">
        <v>25</v>
      </c>
      <c r="E4" s="5">
        <v>85</v>
      </c>
      <c r="F4" s="6">
        <f t="shared" si="0"/>
        <v>2125</v>
      </c>
    </row>
    <row r="5" spans="1:6" ht="16" x14ac:dyDescent="0.2">
      <c r="A5" s="2" t="s">
        <v>14</v>
      </c>
      <c r="B5" s="3" t="s">
        <v>15</v>
      </c>
      <c r="C5" s="2" t="s">
        <v>16</v>
      </c>
      <c r="D5" s="4">
        <v>3000</v>
      </c>
      <c r="E5" s="5">
        <v>1.6</v>
      </c>
      <c r="F5" s="6">
        <f t="shared" si="0"/>
        <v>4800</v>
      </c>
    </row>
    <row r="6" spans="1:6" ht="16" x14ac:dyDescent="0.2">
      <c r="A6" s="2" t="s">
        <v>17</v>
      </c>
      <c r="B6" s="3" t="s">
        <v>18</v>
      </c>
      <c r="C6" s="2" t="s">
        <v>11</v>
      </c>
      <c r="D6" s="4">
        <v>40</v>
      </c>
      <c r="E6" s="5">
        <v>160</v>
      </c>
      <c r="F6" s="6">
        <f t="shared" si="0"/>
        <v>6400</v>
      </c>
    </row>
    <row r="7" spans="1:6" ht="16" x14ac:dyDescent="0.2">
      <c r="A7" s="2" t="s">
        <v>19</v>
      </c>
      <c r="B7" s="3" t="s">
        <v>20</v>
      </c>
      <c r="C7" s="2" t="s">
        <v>21</v>
      </c>
      <c r="D7" s="4">
        <v>220</v>
      </c>
      <c r="E7" s="5">
        <v>85</v>
      </c>
      <c r="F7" s="6">
        <f t="shared" si="0"/>
        <v>18700</v>
      </c>
    </row>
    <row r="8" spans="1:6" ht="16" x14ac:dyDescent="0.2">
      <c r="A8" s="2" t="s">
        <v>22</v>
      </c>
      <c r="B8" s="3" t="s">
        <v>23</v>
      </c>
      <c r="C8" s="2" t="s">
        <v>21</v>
      </c>
      <c r="D8" s="4">
        <v>140</v>
      </c>
      <c r="E8" s="5">
        <v>65</v>
      </c>
      <c r="F8" s="6">
        <f t="shared" si="0"/>
        <v>9100</v>
      </c>
    </row>
    <row r="9" spans="1:6" ht="16" x14ac:dyDescent="0.2">
      <c r="A9" s="2" t="s">
        <v>24</v>
      </c>
      <c r="B9" s="3" t="s">
        <v>25</v>
      </c>
      <c r="C9" s="2" t="s">
        <v>21</v>
      </c>
      <c r="D9" s="4">
        <v>180</v>
      </c>
      <c r="E9" s="5">
        <v>95</v>
      </c>
      <c r="F9" s="6">
        <f t="shared" si="0"/>
        <v>17100</v>
      </c>
    </row>
    <row r="10" spans="1:6" ht="16" x14ac:dyDescent="0.2">
      <c r="A10" s="2" t="s">
        <v>26</v>
      </c>
      <c r="B10" s="3" t="s">
        <v>27</v>
      </c>
      <c r="C10" s="2" t="s">
        <v>8</v>
      </c>
      <c r="D10" s="4">
        <v>1</v>
      </c>
      <c r="E10" s="5">
        <v>1000</v>
      </c>
      <c r="F10" s="6">
        <f t="shared" si="0"/>
        <v>1000</v>
      </c>
    </row>
    <row r="11" spans="1:6" ht="16" x14ac:dyDescent="0.2">
      <c r="A11" s="2" t="s">
        <v>28</v>
      </c>
      <c r="B11" s="3" t="s">
        <v>29</v>
      </c>
      <c r="C11" s="2" t="s">
        <v>8</v>
      </c>
      <c r="D11" s="4">
        <v>1</v>
      </c>
      <c r="E11" s="5">
        <v>1200</v>
      </c>
      <c r="F11" s="6">
        <f t="shared" si="0"/>
        <v>1200</v>
      </c>
    </row>
    <row r="12" spans="1:6" ht="16" x14ac:dyDescent="0.2">
      <c r="E12" s="7" t="s">
        <v>30</v>
      </c>
      <c r="F12" s="8">
        <f>SUM(F2:F11)</f>
        <v>66425</v>
      </c>
    </row>
    <row r="13" spans="1:6" ht="16" x14ac:dyDescent="0.2">
      <c r="E13" s="7" t="s">
        <v>31</v>
      </c>
      <c r="F13" s="8">
        <f>F12*0.19</f>
        <v>12620.75</v>
      </c>
    </row>
    <row r="14" spans="1:6" ht="16" x14ac:dyDescent="0.2">
      <c r="E14" s="7" t="s">
        <v>32</v>
      </c>
      <c r="F14" s="8">
        <f>F12+F13</f>
        <v>79045.75</v>
      </c>
    </row>
    <row r="16" spans="1:6" ht="96" x14ac:dyDescent="0.2">
      <c r="A16" s="3" t="s">
        <v>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opLeftCell="A14" workbookViewId="0">
      <selection activeCell="B24" sqref="B24"/>
    </sheetView>
  </sheetViews>
  <sheetFormatPr baseColWidth="10" defaultColWidth="8.83203125" defaultRowHeight="15" x14ac:dyDescent="0.2"/>
  <cols>
    <col min="1" max="1" width="24" customWidth="1"/>
    <col min="2" max="2" width="60" customWidth="1"/>
  </cols>
  <sheetData>
    <row r="1" spans="1:2" ht="19" x14ac:dyDescent="0.25">
      <c r="A1" s="9" t="s">
        <v>34</v>
      </c>
    </row>
    <row r="3" spans="1:2" x14ac:dyDescent="0.2">
      <c r="A3" s="10" t="s">
        <v>35</v>
      </c>
      <c r="B3" t="s">
        <v>36</v>
      </c>
    </row>
    <row r="4" spans="1:2" x14ac:dyDescent="0.2">
      <c r="A4" s="10" t="s">
        <v>37</v>
      </c>
      <c r="B4" t="s">
        <v>38</v>
      </c>
    </row>
    <row r="5" spans="1:2" x14ac:dyDescent="0.2">
      <c r="A5" s="10" t="s">
        <v>39</v>
      </c>
      <c r="B5" t="s">
        <v>40</v>
      </c>
    </row>
    <row r="6" spans="1:2" x14ac:dyDescent="0.2">
      <c r="A6" s="10" t="s">
        <v>41</v>
      </c>
      <c r="B6" t="s">
        <v>42</v>
      </c>
    </row>
    <row r="7" spans="1:2" x14ac:dyDescent="0.2">
      <c r="A7" s="10" t="s">
        <v>43</v>
      </c>
      <c r="B7" t="s">
        <v>44</v>
      </c>
    </row>
    <row r="10" spans="1:2" x14ac:dyDescent="0.2">
      <c r="A10" s="10" t="s">
        <v>45</v>
      </c>
    </row>
    <row r="11" spans="1:2" x14ac:dyDescent="0.2">
      <c r="A11" s="10" t="s">
        <v>30</v>
      </c>
      <c r="B11" s="5">
        <f>Leistungsverzeichnis!F12</f>
        <v>66425</v>
      </c>
    </row>
    <row r="12" spans="1:2" x14ac:dyDescent="0.2">
      <c r="A12" s="10" t="s">
        <v>31</v>
      </c>
      <c r="B12" s="5">
        <f>Leistungsverzeichnis!F13</f>
        <v>12620.75</v>
      </c>
    </row>
    <row r="13" spans="1:2" x14ac:dyDescent="0.2">
      <c r="A13" s="10" t="s">
        <v>32</v>
      </c>
      <c r="B13" s="5">
        <f>Leistungsverzeichnis!F14</f>
        <v>79045.75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Leistungsverzeichnis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Stawowiak</cp:lastModifiedBy>
  <dcterms:created xsi:type="dcterms:W3CDTF">2025-11-09T14:35:58Z</dcterms:created>
  <dcterms:modified xsi:type="dcterms:W3CDTF">2025-11-09T14:36:42Z</dcterms:modified>
</cp:coreProperties>
</file>